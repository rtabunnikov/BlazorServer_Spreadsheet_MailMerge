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/>
  <workbookPr/>
  <mc:AlternateContent xmlns:mc="http://schemas.openxmlformats.org/markup-compatibility/2006">
    <mc:Choice Requires="x15">
      <x15ac:absPath xmlns:x15ac="http://schemas.microsoft.com/office/spreadsheetml/2010/11/ac" url="C:\Work\Demos\2019.1\Demos.ASP\AspNetCoreDemos.OfficeFileAPI\Documents\"/>
    </mc:Choice>
  </mc:AlternateContent>
  <xr:revisionPtr revIDLastSave="0" documentId="13_ncr:11_{4749596F-C9E4-4F49-BC5A-71660C8D53F6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Loan Amortization Schedule" sheetId="1" r:id="rId1"/>
  </sheets>
  <definedNames>
    <definedName name="Actual_Number_Payments">NPER(Interest_Rate_Per_Month, 'Loan Amortization Schedule'!$I$4+Extra_Payments, -Loan_Amount)</definedName>
    <definedName name="Extra_Payments">'Loan Amortization Schedule'!$E$9</definedName>
    <definedName name="Interest_Rate">'Loan Amortization Schedule'!$E$5</definedName>
    <definedName name="Interest_Rate_Per_Month">Interest_Rate/Number_of_Payments_Per_Year</definedName>
    <definedName name="Loan_Amount">'Loan Amortization Schedule'!$E$4</definedName>
    <definedName name="Loan_Start">'Loan Amortization Schedule'!$E$8</definedName>
    <definedName name="Loan_Years">'Loan Amortization Schedule'!$E$6</definedName>
    <definedName name="Number_of_Payments_Per_Year">'Loan Amortization Schedule'!$E$7</definedName>
    <definedName name="_xlnm.Print_Titles" localSheetId="0">'Loan Amortization Schedule'!$11:$11</definedName>
    <definedName name="Scheduled_Number_Payments">'Loan Amortization Schedule'!$I$5</definedName>
    <definedName name="Scheduled_payment">'Loan Amortization Schedule'!$I$4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I4" i="1" s="1"/>
  <c r="I6" i="1" l="1"/>
  <c r="I7" i="1" l="1"/>
  <c r="I8" i="1" l="1"/>
</calcChain>
</file>

<file path=xl/sharedStrings.xml><?xml version="1.0" encoding="utf-8"?>
<sst xmlns="http://schemas.openxmlformats.org/spreadsheetml/2006/main" count="110" uniqueCount="22">
  <si>
    <t>Loan Amortization Schedule</t>
  </si>
  <si>
    <t>Loan amount:</t>
  </si>
  <si>
    <t>First scheduled payment:</t>
  </si>
  <si>
    <t>Annual interest rate:</t>
  </si>
  <si>
    <t>Scheduled number of payments:</t>
  </si>
  <si>
    <t>Loan period in years:</t>
  </si>
  <si>
    <t>Actual number of payments:</t>
  </si>
  <si>
    <t>Number of payments per year:</t>
  </si>
  <si>
    <t>Total early payments:</t>
  </si>
  <si>
    <t>Start date of loan:</t>
  </si>
  <si>
    <t>Total interest:</t>
  </si>
  <si>
    <t>Optional extra payments:</t>
  </si>
  <si>
    <t>No.</t>
  </si>
  <si>
    <t>Payment Date</t>
  </si>
  <si>
    <t>Beginning Balance</t>
  </si>
  <si>
    <t>Scheduled Payment</t>
  </si>
  <si>
    <t>Extra Payment</t>
  </si>
  <si>
    <t>Total Payment</t>
  </si>
  <si>
    <t>Principal</t>
  </si>
  <si>
    <t>Interest</t>
  </si>
  <si>
    <t>Ending Balance</t>
  </si>
  <si>
    <t>Cumulative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</si>
</sst>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$\ #,##0.00;\$\ #,##0.00;\$\ &quot; - &quot;??;@"/>
    <numFmt numFmtId="165" formatCode="m/d/yyyy"/>
    <numFmt numFmtId="166" formatCode="_(\$* #,##0.00_);_(\$\ \(#,##0.00\);_(\$* &quot; - &quot;??_);_(@_)"/>
  </numFmts>
  <fonts count="3" x14ac:knownFonts="1">
    <font>
      <sz val="10"/>
      <name val="Tahoma"/>
      <family val="2"/>
    </font>
    <font>
      <sz val="10"/>
      <color rgb="FFFFFFFF"/>
      <name val="Tahoma"/>
    </font>
    <font>
      <sz val="26"/>
      <color theme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A6A6A6"/>
      </patternFill>
    </fill>
  </fills>
  <borders count="4">
    <border>
      <left/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center" vertical="center" wrapText="1"/>
    </xf>
    <xf numFmtId="166" fontId="1" fillId="2" borderId="2" xfId="0" applyNumberFormat="1" applyFont="1" applyFill="1" applyBorder="1" applyAlignment="1">
      <alignment horizontal="center" vertical="center" wrapText="1"/>
    </xf>
    <xf numFmtId="166" fontId="1" fillId="2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Alignment="1" applyProtection="1">
      <alignment horizontal="left"/>
      <protection locked="0"/>
    </xf>
    <xf numFmtId="10" fontId="0" fillId="0" borderId="0" xfId="0" applyNumberFormat="1" applyFont="1" applyAlignment="1" applyProtection="1">
      <alignment horizontal="left"/>
      <protection locked="0"/>
    </xf>
    <xf numFmtId="0" fontId="0" fillId="0" borderId="0" xfId="0" applyFont="1" applyAlignment="1" applyProtection="1">
      <alignment horizontal="left"/>
      <protection locked="0"/>
    </xf>
    <xf numFmtId="165" fontId="0" fillId="0" borderId="0" xfId="0" applyNumberFormat="1" applyFont="1" applyAlignment="1" applyProtection="1">
      <alignment horizontal="left"/>
      <protection locked="0"/>
    </xf>
    <xf numFmtId="0" fontId="0" fillId="0" borderId="0" xfId="0" applyFont="1" applyAlignment="1">
      <alignment horizontal="right" indent="1"/>
    </xf>
    <xf numFmtId="0" fontId="2" fillId="0" borderId="0" xfId="0" applyFont="1" applyAlignment="1">
      <alignment horizontal="left" vertical="center"/>
    </xf>
  </cellXfs>
  <cellStyles count="1">
    <cellStyle name="Normal" xfId="0" builtinId="0" customBuiltin="1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  <a:tileRect/>
        </a:gradFill>
      </a:fillStyleLst>
      <a:lnStyleLst>
        <a:ln w="9525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mpd="sng" algn="ctr">
          <a:solidFill>
            <a:schemeClr val="phClr"/>
          </a:solidFill>
          <a:prstDash val="solid"/>
        </a:ln>
        <a:ln w="38100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  <a:tileRect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K11"/>
  <sheetViews>
    <sheetView showGridLines="0" tabSelected="1" workbookViewId="0">
      <selection activeCell="O20" sqref="O20"/>
    </sheetView>
  </sheetViews>
  <sheetFormatPr defaultColWidth="9.7109375" defaultRowHeight="15" customHeight="1" x14ac:dyDescent="0.2"/>
  <cols>
    <col min="1" max="1" width="3.140625" customWidth="1"/>
    <col min="2" max="2" width="5.85546875" customWidth="1"/>
    <col min="3" max="11" width="12.42578125" customWidth="1"/>
  </cols>
  <sheetData>
    <row r="2" spans="2:11" ht="30.95" customHeight="1" x14ac:dyDescent="0.2">
      <c r="B2" s="12" t="s">
        <v>0</v>
      </c>
      <c r="C2" s="12"/>
      <c r="D2" s="12"/>
      <c r="E2" s="12"/>
      <c r="F2" s="12"/>
      <c r="G2" s="12"/>
      <c r="H2" s="12"/>
      <c r="I2" s="12"/>
      <c r="J2" s="12"/>
      <c r="K2" s="12"/>
    </row>
    <row r="4" spans="2:11" ht="14.1" customHeight="1" x14ac:dyDescent="0.2">
      <c r="B4" s="11" t="s">
        <v>1</v>
      </c>
      <c r="C4" s="11"/>
      <c r="D4" s="11"/>
      <c r="E4" s="7">
        <v>19900</v>
      </c>
      <c r="F4" s="11" t="s">
        <v>2</v>
      </c>
      <c r="G4" s="11"/>
      <c r="H4" s="11"/>
      <c r="I4" s="1">
        <f>PMT(Interest_Rate_Per_Month,Scheduled_Number_Payments,-Loan_Amount)</f>
        <v>877.50355754691839</v>
      </c>
    </row>
    <row r="5" spans="2:11" ht="14.1" customHeight="1" x14ac:dyDescent="0.2">
      <c r="B5" s="11" t="s">
        <v>3</v>
      </c>
      <c r="C5" s="11"/>
      <c r="D5" s="11"/>
      <c r="E5" s="8">
        <v>5.5E-2</v>
      </c>
      <c r="F5" s="11" t="s">
        <v>4</v>
      </c>
      <c r="G5" s="11"/>
      <c r="H5" s="11"/>
      <c r="I5" s="2">
        <f>Loan_Years*Number_of_Payments_Per_Year</f>
        <v>24</v>
      </c>
    </row>
    <row r="6" spans="2:11" ht="14.1" customHeight="1" x14ac:dyDescent="0.2">
      <c r="B6" s="11" t="s">
        <v>5</v>
      </c>
      <c r="C6" s="11"/>
      <c r="D6" s="11"/>
      <c r="E6" s="9">
        <v>2</v>
      </c>
      <c r="F6" s="11" t="s">
        <v>6</v>
      </c>
      <c r="G6" s="11"/>
      <c r="H6" s="11"/>
      <c r="I6" s="2">
        <f>ROUNDUP(Actual_Number_Payments,0)</f>
        <v>20</v>
      </c>
    </row>
    <row r="7" spans="2:11" ht="14.1" customHeight="1" x14ac:dyDescent="0.2">
      <c r="B7" s="11" t="s">
        <v>7</v>
      </c>
      <c r="C7" s="11"/>
      <c r="D7" s="11"/>
      <c r="E7" s="9">
        <v>12</v>
      </c>
      <c r="F7" s="11" t="s">
        <v>8</v>
      </c>
      <c r="G7" s="11"/>
      <c r="H7" s="11"/>
      <c r="I7" s="1" t="e">
        <f>SUM(#REF!)</f>
        <v>#REF!</v>
      </c>
    </row>
    <row r="8" spans="2:11" ht="14.1" customHeight="1" x14ac:dyDescent="0.2">
      <c r="B8" s="11" t="s">
        <v>9</v>
      </c>
      <c r="C8" s="11"/>
      <c r="D8" s="11"/>
      <c r="E8" s="10">
        <v>43094.762076539075</v>
      </c>
      <c r="F8" s="11" t="s">
        <v>10</v>
      </c>
      <c r="G8" s="11"/>
      <c r="H8" s="11"/>
      <c r="I8" s="1" t="e">
        <f>SUM(#REF!)</f>
        <v>#REF!</v>
      </c>
    </row>
    <row r="9" spans="2:11" ht="14.1" customHeight="1" x14ac:dyDescent="0.2">
      <c r="B9" s="11" t="s">
        <v>11</v>
      </c>
      <c r="C9" s="11"/>
      <c r="D9" s="11"/>
      <c r="E9" s="7">
        <v>200</v>
      </c>
    </row>
    <row r="11" spans="2:11" ht="35.1" customHeight="1" x14ac:dyDescent="0.2">
      <c r="B11" s="3" t="s">
        <v>12</v>
      </c>
      <c r="C11" s="4" t="s">
        <v>13</v>
      </c>
      <c r="D11" s="5" t="s">
        <v>14</v>
      </c>
      <c r="E11" s="5" t="s">
        <v>15</v>
      </c>
      <c r="F11" s="5" t="s">
        <v>16</v>
      </c>
      <c r="G11" s="5" t="s">
        <v>17</v>
      </c>
      <c r="H11" s="5" t="s">
        <v>18</v>
      </c>
      <c r="I11" s="5" t="s">
        <v>19</v>
      </c>
      <c r="J11" s="5" t="s">
        <v>20</v>
      </c>
      <c r="K11" s="6" t="s">
        <v>21</v>
      </c>
    </row>
  </sheetData>
  <mergeCells count="12">
    <mergeCell ref="B2:K2"/>
    <mergeCell ref="B4:D4"/>
    <mergeCell ref="B5:D5"/>
    <mergeCell ref="B6:D6"/>
    <mergeCell ref="B7:D7"/>
    <mergeCell ref="B8:D8"/>
    <mergeCell ref="B9:D9"/>
    <mergeCell ref="F4:H4"/>
    <mergeCell ref="F5:H5"/>
    <mergeCell ref="F6:H6"/>
    <mergeCell ref="F7:H7"/>
    <mergeCell ref="F8:H8"/>
  </mergeCells>
  <dataValidations count="1">
    <dataValidation type="whole" allowBlank="1" showErrorMessage="1" errorTitle="Loan period" error="Loan period can be set in the range 1-10 year(s)." promptTitle="Loan period" prompt="Please enter a whole number of years from 1 to 10." sqref="E6" xr:uid="{00000000-0002-0000-0000-000000000000}">
      <formula1>1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Loan Amortization Schedule</vt:lpstr>
      <vt:lpstr>Extra_Payments</vt:lpstr>
      <vt:lpstr>Interest_Rate</vt:lpstr>
      <vt:lpstr>Loan_Amount</vt:lpstr>
      <vt:lpstr>Loan_Start</vt:lpstr>
      <vt:lpstr>Loan_Years</vt:lpstr>
      <vt:lpstr>Number_of_Payments_Per_Year</vt:lpstr>
      <vt:lpstr>'Loan Amortization Schedule'!Print_Titles</vt:lpstr>
      <vt:lpstr>Scheduled_Number_Payments</vt:lpstr>
      <vt:lpstr>Scheduled_payment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Smith</dc:creator>
  <cp:lastModifiedBy>John Smith</cp:lastModifiedBy>
  <dcterms:created xsi:type="dcterms:W3CDTF">2017-12-25T15:17:22Z</dcterms:created>
  <dcterms:modified xsi:type="dcterms:W3CDTF">2019-04-25T08:30:48Z</dcterms:modified>
</cp:coreProperties>
</file>